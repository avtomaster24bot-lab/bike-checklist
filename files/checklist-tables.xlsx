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рг" sheetId="1" state="visible" r:id="rId1"/>
    <sheet xmlns:r="http://schemas.openxmlformats.org/officeDocument/2006/relationships" name="Бюдж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₸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64" fontId="0" fillId="3" borderId="0" pivotButton="0" quotePrefix="0" xfId="0"/>
    <xf numFmtId="0" fontId="5" fillId="0" borderId="0" pivotButton="0" quotePrefix="0" xfId="0"/>
    <xf numFmtId="164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Таблица торга: дефект → скидка</t>
        </is>
      </c>
    </row>
    <row r="3">
      <c r="A3" s="2" t="inlineStr">
        <is>
          <t>Дефект</t>
        </is>
      </c>
      <c r="B3" s="2" t="inlineStr">
        <is>
          <t>Скидка от, ₸</t>
        </is>
      </c>
      <c r="C3" s="2" t="inlineStr">
        <is>
          <t>Скидка до, ₸</t>
        </is>
      </c>
      <c r="D3" s="2" t="inlineStr">
        <is>
          <t>Нашёл? (1 = да)</t>
        </is>
      </c>
    </row>
    <row r="4">
      <c r="A4" s="3" t="inlineStr">
        <is>
          <t>Восьмёрка колеса</t>
        </is>
      </c>
      <c r="B4" s="4" t="n">
        <v>3000</v>
      </c>
      <c r="C4" s="4" t="n">
        <v>8000</v>
      </c>
      <c r="D4" s="3" t="n">
        <v>0</v>
      </c>
    </row>
    <row r="5">
      <c r="A5" s="3" t="inlineStr">
        <is>
          <t>Износ цепи + кассеты</t>
        </is>
      </c>
      <c r="B5" s="4" t="n">
        <v>15000</v>
      </c>
      <c r="C5" s="4" t="n">
        <v>35000</v>
      </c>
      <c r="D5" s="3" t="n">
        <v>0</v>
      </c>
    </row>
    <row r="6">
      <c r="A6" s="3" t="inlineStr">
        <is>
          <t>Сточенные колодки</t>
        </is>
      </c>
      <c r="B6" s="4" t="n">
        <v>2000</v>
      </c>
      <c r="C6" s="4" t="n">
        <v>5000</v>
      </c>
      <c r="D6" s="3" t="n">
        <v>0</v>
      </c>
    </row>
    <row r="7">
      <c r="A7" s="3" t="inlineStr">
        <is>
          <t>Люфт каретки</t>
        </is>
      </c>
      <c r="B7" s="4" t="n">
        <v>5000</v>
      </c>
      <c r="C7" s="4" t="n">
        <v>15000</v>
      </c>
      <c r="D7" s="3" t="n">
        <v>0</v>
      </c>
    </row>
    <row r="8">
      <c r="A8" s="3" t="inlineStr">
        <is>
          <t>Трещины на покрышках</t>
        </is>
      </c>
      <c r="B8" s="4" t="n">
        <v>4000</v>
      </c>
      <c r="C8" s="4" t="n">
        <v>12000</v>
      </c>
      <c r="D8" s="3" t="n">
        <v>0</v>
      </c>
    </row>
    <row r="9">
      <c r="A9" s="3" t="inlineStr">
        <is>
          <t>Подтёки на вилке</t>
        </is>
      </c>
      <c r="B9" s="4" t="n">
        <v>10000</v>
      </c>
      <c r="C9" s="4" t="n">
        <v>25000</v>
      </c>
      <c r="D9" s="3" t="n">
        <v>0</v>
      </c>
    </row>
    <row r="10">
      <c r="A10" s="3" t="inlineStr">
        <is>
          <t>Ржавчина на раме</t>
        </is>
      </c>
      <c r="B10" s="4" t="n">
        <v>5000</v>
      </c>
      <c r="C10" s="4" t="n">
        <v>15000</v>
      </c>
      <c r="D10" s="3" t="n">
        <v>0</v>
      </c>
    </row>
    <row r="11">
      <c r="A11" s="3" t="inlineStr">
        <is>
          <t>Износ седла</t>
        </is>
      </c>
      <c r="B11" s="4" t="n">
        <v>3000</v>
      </c>
      <c r="C11" s="4" t="n">
        <v>10000</v>
      </c>
      <c r="D11" s="3" t="n">
        <v>0</v>
      </c>
    </row>
    <row r="12">
      <c r="A12" s="3" t="inlineStr">
        <is>
          <t>Люфт рулевой</t>
        </is>
      </c>
      <c r="B12" s="4" t="n">
        <v>3000</v>
      </c>
      <c r="C12" s="4" t="n">
        <v>8000</v>
      </c>
      <c r="D12" s="3" t="n">
        <v>0</v>
      </c>
    </row>
    <row r="13">
      <c r="A13" s="3" t="inlineStr">
        <is>
          <t>Аккумулятор e-bike (износ)</t>
        </is>
      </c>
      <c r="B13" s="4" t="n">
        <v>30000</v>
      </c>
      <c r="C13" s="4" t="n">
        <v>80000</v>
      </c>
      <c r="D13" s="3" t="n">
        <v>0</v>
      </c>
    </row>
    <row r="14">
      <c r="A14" s="5" t="inlineStr">
        <is>
          <t>Итого скидка по найденным дефектам</t>
        </is>
      </c>
      <c r="B14" s="6">
        <f>SUMPRODUCT(B4:B13,D4:D13)</f>
        <v/>
      </c>
      <c r="C14" s="6">
        <f>SUMPRODUCT(C4:C13,D4:D13)</f>
        <v/>
      </c>
      <c r="D14" s="5" t="n"/>
    </row>
    <row r="16">
      <c r="A16" s="7" t="inlineStr">
        <is>
          <t>Поставьте 1 в столбце D напротив найденного дефекта — итог посчитается сам.</t>
        </is>
      </c>
    </row>
    <row r="17">
      <c r="A17" s="7" t="inlineStr">
        <is>
          <t>Как торговаться: называйте дефект, а не «мне не нравится»; показывайте стоимость ремонта; не торгуйтесь, если нашли красный флаг — просто уходите.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</cols>
  <sheetData>
    <row r="1">
      <c r="A1" s="1" t="inlineStr">
        <is>
          <t>Калькулятор бюджета</t>
        </is>
      </c>
    </row>
    <row r="3">
      <c r="A3" s="2" t="inlineStr">
        <is>
          <t>Статья</t>
        </is>
      </c>
      <c r="B3" s="2" t="inlineStr">
        <is>
          <t>Ориентир</t>
        </is>
      </c>
      <c r="C3" s="2" t="inlineStr">
        <is>
          <t>Ваша сумма, ₸</t>
        </is>
      </c>
    </row>
    <row r="4">
      <c r="A4" t="inlineStr">
        <is>
          <t>Велосипед</t>
        </is>
      </c>
      <c r="B4" t="inlineStr"/>
      <c r="C4" s="8" t="n"/>
    </row>
    <row r="5">
      <c r="A5" t="inlineStr">
        <is>
          <t>Шлем</t>
        </is>
      </c>
      <c r="B5" t="inlineStr">
        <is>
          <t>15 000–40 000 ₸</t>
        </is>
      </c>
      <c r="C5" s="8" t="n"/>
    </row>
    <row r="6">
      <c r="A6" t="inlineStr">
        <is>
          <t>Свет (передний + задний)</t>
        </is>
      </c>
      <c r="B6" t="inlineStr">
        <is>
          <t>5 000–15 000 ₸</t>
        </is>
      </c>
      <c r="C6" s="8" t="n"/>
    </row>
    <row r="7">
      <c r="A7" t="inlineStr">
        <is>
          <t>Замок</t>
        </is>
      </c>
      <c r="B7" t="inlineStr">
        <is>
          <t>8 000–25 000 ₸</t>
        </is>
      </c>
      <c r="C7" s="8" t="n"/>
    </row>
    <row r="8">
      <c r="A8" t="inlineStr">
        <is>
          <t>Первое ТО</t>
        </is>
      </c>
      <c r="B8" t="inlineStr">
        <is>
          <t>10 000–20 000 ₸</t>
        </is>
      </c>
      <c r="C8" s="8" t="n"/>
    </row>
    <row r="9">
      <c r="A9" t="inlineStr">
        <is>
          <t>Запчасти (если нужно)</t>
        </is>
      </c>
      <c r="B9" t="inlineStr"/>
      <c r="C9" s="8" t="n"/>
    </row>
    <row r="10">
      <c r="A10" s="9" t="inlineStr">
        <is>
          <t>Итого</t>
        </is>
      </c>
      <c r="B10" t="inlineStr"/>
      <c r="C10" s="10">
        <f>SUM(C4:C9)</f>
        <v/>
      </c>
    </row>
    <row r="12">
      <c r="A12" s="9" t="inlineStr">
        <is>
          <t>Ваш бюджет</t>
        </is>
      </c>
      <c r="B12" t="inlineStr"/>
      <c r="C12" s="8" t="n"/>
    </row>
    <row r="13">
      <c r="A13" s="9" t="inlineStr">
        <is>
          <t>Остаток (бюджет − итог)</t>
        </is>
      </c>
      <c r="B13" t="inlineStr"/>
      <c r="C13" s="11">
        <f>C12-C10</f>
        <v/>
      </c>
    </row>
    <row r="14">
      <c r="A14" s="9" t="inlineStr">
        <is>
          <t>Вывод</t>
        </is>
      </c>
      <c r="B14" t="inlineStr"/>
      <c r="C14">
        <f>IF(C12="","Введите бюджет",IF(C10&gt;C12,"Итог превышает бюджет — торгуйтесь или ищите другой велосипед","В бюджете"))</f>
        <v/>
      </c>
    </row>
    <row r="16">
      <c r="A16" s="7" t="inlineStr">
        <is>
          <t>Правило: если итог превышает ваш бюджет — торгуйтесь или ищите другой велосипед. Не покупайте «на эмоциях».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2026-10-17T12:53:10Z</dcterms:created>
  <dcterms:modified xmlns:dcterms="http://purl.org/dc/terms/" xmlns:xsi="http://www.w3.org/2001/XMLSchema-instance" xsi:type="dcterms:W3CDTF">2026-10-17T12:53:10Z</dcterms:modified>
</cp:coreProperties>
</file>